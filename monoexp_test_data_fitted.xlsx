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</font>
    <font>
      <b val="1"/>
      <color rgb="00FFFFFF"/>
    </font>
    <font>
      <color rgb="00FFFFFF"/>
      <sz val="5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Mono-Exp  (R²=1.00000)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'Sheet1'!$C$2:$C$33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Mono-Exp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'Sheet1'!$D$2:$D$33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Mono-Exp+Offset  (R²=1.00000)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'Sheet1'!$E$2:$E$33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Mono-Exp+Offset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'Sheet1'!$F$2:$F$33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Bi-Exp  (R²=1.00000)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'Sheet1'!$G$2:$G$33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Bi-Exp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'Sheet1'!$H$2:$H$33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Linear  (R²=0.96234)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'Sheet1'!$I$2:$I$33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Linear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'Sheet1'!$J$2:$J$33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Inv.Linear  (R²=0.97149)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'Sheet1'!$K$2:$K$33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Inv.Linear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'Sheet1'!$L$2:$L$33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Inv.Lin+Offset  (R²=0.99985)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'Sheet1'!$M$2:$M$33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Inv.Lin+Offset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'Sheet1'!$N$2:$N$33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Intermediate  (R²=0.40026)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'Sheet1'!$O$2:$O$33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Intermediate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'Sheet1'!$P$2:$P$33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Interm+Offset  (R²=0.67368)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Data</v>
          </tx>
          <spPr>
            <a:ln>
              <a:noFill/>
              <a:prstDash val="solid"/>
            </a:ln>
          </spPr>
          <marker>
            <symbol val="dot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'Sheet1'!$B$2:$B$33</f>
            </numRef>
          </yVal>
        </ser>
        <ser>
          <idx val="1"/>
          <order val="1"/>
          <tx>
            <v>Fit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ize val="4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'Sheet1'!$Q$2:$Q$33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b_value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Interm+Offset — Residuals</a:t>
            </a:r>
          </a:p>
        </rich>
      </tx>
      <overlay val="0"/>
    </title>
    <plotArea>
      <scatterChart>
        <scatterStyle val="smoothMarker"/>
        <ser>
          <idx val="0"/>
          <order val="0"/>
          <tx>
            <v>Zero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'Sheet1'!$U$2:$U$33</f>
            </numRef>
          </yVal>
        </ser>
        <ser>
          <idx val="1"/>
          <order val="1"/>
          <tx>
            <v>Residual</v>
          </tx>
          <spPr>
            <a:ln w="12700">
              <a:solidFill>
                <a:srgbClr val="FF0000"/>
              </a:solidFill>
              <a:prstDash val="solid"/>
            </a:ln>
          </spPr>
          <marker>
            <symbol val="circle"/>
            <size val="4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'Sheet1'!$A$2:$A$33</f>
            </numRef>
          </xVal>
          <yVal>
            <numRef>
              <f>'Sheet1'!$R$2:$R$33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integral</a:t>
                </a:r>
              </a:p>
            </rich>
          </tx>
        </title>
        <numFmt formatCode="General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9086250554220286"/>
          <min val="-0.2138338506056002"/>
        </scaling>
        <axPos val="l"/>
        <majorGridlines>
          <spPr>
            <a:ln>
              <a:solidFill>
                <a:srgbClr val="BFBFBF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Residual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48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73</row>
      <rowOff>0</rowOff>
    </from>
    <ext cx="57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73</row>
      <rowOff>0</rowOff>
    </from>
    <ext cx="576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98</row>
      <rowOff>0</rowOff>
    </from>
    <ext cx="576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98</row>
      <rowOff>0</rowOff>
    </from>
    <ext cx="576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123</row>
      <rowOff>0</rowOff>
    </from>
    <ext cx="576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5</col>
      <colOff>0</colOff>
      <row>123</row>
      <rowOff>0</rowOff>
    </from>
    <ext cx="5760000" cy="43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148</row>
      <rowOff>0</rowOff>
    </from>
    <ext cx="5760000" cy="43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5</col>
      <colOff>0</colOff>
      <row>148</row>
      <rowOff>0</rowOff>
    </from>
    <ext cx="5760000" cy="43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173</row>
      <rowOff>0</rowOff>
    </from>
    <ext cx="5760000" cy="43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5</col>
      <colOff>0</colOff>
      <row>173</row>
      <rowOff>0</rowOff>
    </from>
    <ext cx="5760000" cy="43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198</row>
      <rowOff>0</rowOff>
    </from>
    <ext cx="5760000" cy="43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5</col>
      <colOff>0</colOff>
      <row>198</row>
      <rowOff>0</rowOff>
    </from>
    <ext cx="5760000" cy="43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223</row>
      <rowOff>0</rowOff>
    </from>
    <ext cx="5760000" cy="43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5</col>
      <colOff>0</colOff>
      <row>223</row>
      <rowOff>0</rowOff>
    </from>
    <ext cx="5760000" cy="43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tabSelected="1" workbookViewId="0">
      <selection activeCell="I7" sqref="I7"/>
    </sheetView>
  </sheetViews>
  <sheetFormatPr baseColWidth="10" defaultColWidth="8.83203125" defaultRowHeight="15"/>
  <cols>
    <col width="4" customWidth="1" min="1" max="2"/>
    <col width="18" customWidth="1" min="2" max="2"/>
    <col width="44" customWidth="1" min="3" max="3"/>
    <col width="12" customWidth="1" min="4" max="4"/>
    <col width="12" customWidth="1" min="5" max="5"/>
    <col width="12" customWidth="1" min="6" max="6"/>
    <col width="24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integral</t>
        </is>
      </c>
      <c r="B1" s="1" t="inlineStr">
        <is>
          <t>b_value</t>
        </is>
      </c>
      <c r="C1" s="2" t="inlineStr">
        <is>
          <t>MonoExp_fit</t>
        </is>
      </c>
      <c r="D1" s="2" t="inlineStr">
        <is>
          <t>MonoExp_res</t>
        </is>
      </c>
      <c r="E1" s="2" t="inlineStr">
        <is>
          <t>MonoExpOffset_fit</t>
        </is>
      </c>
      <c r="F1" s="2" t="inlineStr">
        <is>
          <t>MonoExpOffset_res</t>
        </is>
      </c>
      <c r="G1" s="2" t="inlineStr">
        <is>
          <t>BiExp_fit</t>
        </is>
      </c>
      <c r="H1" s="2" t="inlineStr">
        <is>
          <t>BiExp_res</t>
        </is>
      </c>
      <c r="I1" s="2" t="inlineStr">
        <is>
          <t>Linear_fit</t>
        </is>
      </c>
      <c r="J1" s="2" t="inlineStr">
        <is>
          <t>Linear_res</t>
        </is>
      </c>
      <c r="K1" s="2" t="inlineStr">
        <is>
          <t>InvLinear_fit</t>
        </is>
      </c>
      <c r="L1" s="2" t="inlineStr">
        <is>
          <t>InvLinear_res</t>
        </is>
      </c>
      <c r="M1" s="2" t="inlineStr">
        <is>
          <t>InvLinearOffset_fit</t>
        </is>
      </c>
      <c r="N1" s="2" t="inlineStr">
        <is>
          <t>InvLinearOffset_res</t>
        </is>
      </c>
      <c r="O1" s="2" t="inlineStr">
        <is>
          <t>Intermediate_fit</t>
        </is>
      </c>
      <c r="P1" s="2" t="inlineStr">
        <is>
          <t>Intermediate_res</t>
        </is>
      </c>
      <c r="Q1" s="2" t="inlineStr">
        <is>
          <t>IntermediateOffset_fit</t>
        </is>
      </c>
      <c r="R1" s="2" t="inlineStr">
        <is>
          <t>IntermediateOffset_res</t>
        </is>
      </c>
      <c r="U1" s="3" t="inlineStr">
        <is>
          <t>__zero__</t>
        </is>
      </c>
    </row>
    <row r="2">
      <c r="A2" t="n">
        <v>0</v>
      </c>
      <c r="B2" t="n">
        <v>0.8</v>
      </c>
      <c r="C2" t="n">
        <v>0.8</v>
      </c>
      <c r="D2">
        <f>B2-C2</f>
        <v/>
      </c>
      <c r="E2" t="n">
        <v>0.8</v>
      </c>
      <c r="F2">
        <f>B2-E2</f>
        <v/>
      </c>
      <c r="G2" t="n">
        <v>0.800000129946</v>
      </c>
      <c r="H2">
        <f>B2-G2</f>
        <v/>
      </c>
      <c r="I2" t="n">
        <v>0.717484390088</v>
      </c>
      <c r="J2">
        <f>B2-I2</f>
        <v/>
      </c>
      <c r="K2" t="n">
        <v>0.859416643773</v>
      </c>
      <c r="L2">
        <f>B2-K2</f>
        <v/>
      </c>
      <c r="M2" t="n">
        <v>0.804824535756</v>
      </c>
      <c r="N2">
        <f>B2-M2</f>
        <v/>
      </c>
      <c r="O2" t="n">
        <v>-0</v>
      </c>
      <c r="P2">
        <f>B2-O2</f>
        <v/>
      </c>
      <c r="Q2" t="n">
        <v>0.272260522719</v>
      </c>
      <c r="R2">
        <f>B2-Q2</f>
        <v/>
      </c>
      <c r="U2" s="3" t="n">
        <v>0</v>
      </c>
    </row>
    <row r="3">
      <c r="A3" t="n">
        <v>0.032258</v>
      </c>
      <c r="B3" t="n">
        <v>0.76221192</v>
      </c>
      <c r="C3" t="n">
        <v>0.762211996793</v>
      </c>
      <c r="D3">
        <f>B3-C3</f>
        <v/>
      </c>
      <c r="E3" t="n">
        <v>0.762211996793</v>
      </c>
      <c r="F3">
        <f>B3-E3</f>
        <v/>
      </c>
      <c r="G3" t="n">
        <v>0.762211997582</v>
      </c>
      <c r="H3">
        <f>B3-G3</f>
        <v/>
      </c>
      <c r="I3" t="n">
        <v>0.698082222294</v>
      </c>
      <c r="J3">
        <f>B3-I3</f>
        <v/>
      </c>
      <c r="K3" t="n">
        <v>0.790554040264</v>
      </c>
      <c r="L3">
        <f>B3-K3</f>
        <v/>
      </c>
      <c r="M3" t="n">
        <v>0.764153053239</v>
      </c>
      <c r="N3">
        <f>B3-M3</f>
        <v/>
      </c>
      <c r="O3" t="n">
        <v>0.762208538867</v>
      </c>
      <c r="P3">
        <f>B3-O3</f>
        <v/>
      </c>
      <c r="Q3" t="n">
        <v>0.738011542034</v>
      </c>
      <c r="R3">
        <f>B3-Q3</f>
        <v/>
      </c>
      <c r="U3" s="3" t="n">
        <v>0</v>
      </c>
    </row>
    <row r="4">
      <c r="A4" t="n">
        <v>0.064516</v>
      </c>
      <c r="B4" t="n">
        <v>0.7262087699999999</v>
      </c>
      <c r="C4" t="n">
        <v>0.726208910069</v>
      </c>
      <c r="D4">
        <f>B4-C4</f>
        <v/>
      </c>
      <c r="E4" t="n">
        <v>0.726208910069</v>
      </c>
      <c r="F4">
        <f>B4-E4</f>
        <v/>
      </c>
      <c r="G4" t="n">
        <v>0.726208804483</v>
      </c>
      <c r="H4">
        <f>B4-G4</f>
        <v/>
      </c>
      <c r="I4" t="n">
        <v>0.6786800545</v>
      </c>
      <c r="J4">
        <f>B4-I4</f>
        <v/>
      </c>
      <c r="K4" t="n">
        <v>0.731908315299</v>
      </c>
      <c r="L4">
        <f>B4-K4</f>
        <v/>
      </c>
      <c r="M4" t="n">
        <v>0.726101415118</v>
      </c>
      <c r="N4">
        <f>B4-M4</f>
        <v/>
      </c>
      <c r="O4" t="n">
        <v>0.726209428229</v>
      </c>
      <c r="P4">
        <f>B4-O4</f>
        <v/>
      </c>
      <c r="Q4" t="n">
        <v>0.773691081208</v>
      </c>
      <c r="R4">
        <f>B4-Q4</f>
        <v/>
      </c>
      <c r="U4" s="3" t="n">
        <v>0</v>
      </c>
    </row>
    <row r="5">
      <c r="A5" t="n">
        <v>0.096774</v>
      </c>
      <c r="B5" t="n">
        <v>0.69190623</v>
      </c>
      <c r="C5" t="n">
        <v>0.691906429291</v>
      </c>
      <c r="D5">
        <f>B5-C5</f>
        <v/>
      </c>
      <c r="E5" t="n">
        <v>0.691906429291</v>
      </c>
      <c r="F5">
        <f>B5-E5</f>
        <v/>
      </c>
      <c r="G5" t="n">
        <v>0.69190623773</v>
      </c>
      <c r="H5">
        <f>B5-G5</f>
        <v/>
      </c>
      <c r="I5" t="n">
        <v>0.659277886706</v>
      </c>
      <c r="J5">
        <f>B5-I5</f>
        <v/>
      </c>
      <c r="K5" t="n">
        <v>0.681362736372</v>
      </c>
      <c r="L5">
        <f>B5-K5</f>
        <v/>
      </c>
      <c r="M5" t="n">
        <v>0.690424384791</v>
      </c>
      <c r="N5">
        <f>B5-M5</f>
        <v/>
      </c>
      <c r="O5" t="n">
        <v>0.6919068870390001</v>
      </c>
      <c r="P5">
        <f>B5-O5</f>
        <v/>
      </c>
      <c r="Q5" t="n">
        <v>0.730316683353</v>
      </c>
      <c r="R5">
        <f>B5-Q5</f>
        <v/>
      </c>
      <c r="U5" s="3" t="n">
        <v>0</v>
      </c>
    </row>
    <row r="6">
      <c r="A6" t="n">
        <v>0.129032</v>
      </c>
      <c r="B6" t="n">
        <v>0.65922397</v>
      </c>
      <c r="C6" t="n">
        <v>0.65922422633</v>
      </c>
      <c r="D6">
        <f>B6-C6</f>
        <v/>
      </c>
      <c r="E6" t="n">
        <v>0.65922422633</v>
      </c>
      <c r="F6">
        <f>B6-E6</f>
        <v/>
      </c>
      <c r="G6" t="n">
        <v>0.65922396701</v>
      </c>
      <c r="H6">
        <f>B6-G6</f>
        <v/>
      </c>
      <c r="I6" t="n">
        <v>0.639875718912</v>
      </c>
      <c r="J6">
        <f>B6-I6</f>
        <v/>
      </c>
      <c r="K6" t="n">
        <v>0.637347524455</v>
      </c>
      <c r="L6">
        <f>B6-K6</f>
        <v/>
      </c>
      <c r="M6" t="n">
        <v>0.656906407434</v>
      </c>
      <c r="N6">
        <f>B6-M6</f>
        <v/>
      </c>
      <c r="O6" t="n">
        <v>0.659224628198</v>
      </c>
      <c r="P6">
        <f>B6-O6</f>
        <v/>
      </c>
      <c r="Q6" t="n">
        <v>0.677354096365</v>
      </c>
      <c r="R6">
        <f>B6-Q6</f>
        <v/>
      </c>
      <c r="U6" s="3" t="n">
        <v>0</v>
      </c>
    </row>
    <row r="7">
      <c r="A7" t="n">
        <v>0.16129</v>
      </c>
      <c r="B7" t="n">
        <v>0.62808546</v>
      </c>
      <c r="C7" t="n">
        <v>0.6280857673569999</v>
      </c>
      <c r="D7">
        <f>B7-C7</f>
        <v/>
      </c>
      <c r="E7" t="n">
        <v>0.6280857673569999</v>
      </c>
      <c r="F7">
        <f>B7-E7</f>
        <v/>
      </c>
      <c r="G7" t="n">
        <v>0.628085456495</v>
      </c>
      <c r="H7">
        <f>B7-G7</f>
        <v/>
      </c>
      <c r="I7" t="n">
        <v>0.620473551118</v>
      </c>
      <c r="J7">
        <f>B7-I7</f>
        <v/>
      </c>
      <c r="K7" t="n">
        <v>0.5986739110380001</v>
      </c>
      <c r="L7">
        <f>B7-K7</f>
        <v/>
      </c>
      <c r="M7" t="n">
        <v>0.625357251285</v>
      </c>
      <c r="N7">
        <f>B7-M7</f>
        <v/>
      </c>
      <c r="O7" t="n">
        <v>0.628086117603</v>
      </c>
      <c r="P7">
        <f>B7-O7</f>
        <v/>
      </c>
      <c r="Q7" t="n">
        <v>0.627950901995</v>
      </c>
      <c r="R7">
        <f>B7-Q7</f>
        <v/>
      </c>
      <c r="U7" s="3" t="n">
        <v>0</v>
      </c>
    </row>
    <row r="8">
      <c r="A8" t="n">
        <v>0.193548</v>
      </c>
      <c r="B8" t="n">
        <v>0.59841778</v>
      </c>
      <c r="C8" t="n">
        <v>0.598418133618</v>
      </c>
      <c r="D8">
        <f>B8-C8</f>
        <v/>
      </c>
      <c r="E8" t="n">
        <v>0.598418133618</v>
      </c>
      <c r="F8">
        <f>B8-E8</f>
        <v/>
      </c>
      <c r="G8" t="n">
        <v>0.598417785603</v>
      </c>
      <c r="H8">
        <f>B8-G8</f>
        <v/>
      </c>
      <c r="I8" t="n">
        <v>0.601071383324</v>
      </c>
      <c r="J8">
        <f>B8-I8</f>
        <v/>
      </c>
      <c r="K8" t="n">
        <v>0.5644251544510001</v>
      </c>
      <c r="L8">
        <f>B8-K8</f>
        <v/>
      </c>
      <c r="M8" t="n">
        <v>0.595608395097</v>
      </c>
      <c r="N8">
        <f>B8-M8</f>
        <v/>
      </c>
      <c r="O8" t="n">
        <v>0.598418436222</v>
      </c>
      <c r="P8">
        <f>B8-O8</f>
        <v/>
      </c>
      <c r="Q8" t="n">
        <v>0.584063486356</v>
      </c>
      <c r="R8">
        <f>B8-Q8</f>
        <v/>
      </c>
      <c r="U8" s="3" t="n">
        <v>0</v>
      </c>
    </row>
    <row r="9">
      <c r="A9" t="n">
        <v>0.225806</v>
      </c>
      <c r="B9" t="n">
        <v>0.5701514600000001</v>
      </c>
      <c r="C9" t="n">
        <v>0.570151850678</v>
      </c>
      <c r="D9">
        <f>B9-C9</f>
        <v/>
      </c>
      <c r="E9" t="n">
        <v>0.570151850678</v>
      </c>
      <c r="F9">
        <f>B9-E9</f>
        <v/>
      </c>
      <c r="G9" t="n">
        <v>0.570151478227</v>
      </c>
      <c r="H9">
        <f>B9-G9</f>
        <v/>
      </c>
      <c r="I9" t="n">
        <v>0.58166921553</v>
      </c>
      <c r="J9">
        <f>B9-I9</f>
        <v/>
      </c>
      <c r="K9" t="n">
        <v>0.533882940188</v>
      </c>
      <c r="L9">
        <f>B9-K9</f>
        <v/>
      </c>
      <c r="M9" t="n">
        <v>0.56751001687</v>
      </c>
      <c r="N9">
        <f>B9-M9</f>
        <v/>
      </c>
      <c r="O9" t="n">
        <v>0.57015210936</v>
      </c>
      <c r="P9">
        <f>B9-O9</f>
        <v/>
      </c>
      <c r="Q9" t="n">
        <v>0.545489354162</v>
      </c>
      <c r="R9">
        <f>B9-Q9</f>
        <v/>
      </c>
      <c r="U9" s="3" t="n">
        <v>0</v>
      </c>
    </row>
    <row r="10">
      <c r="A10" t="n">
        <v>0.258065</v>
      </c>
      <c r="B10" t="n">
        <v>0.5432203</v>
      </c>
      <c r="C10" t="n">
        <v>0.543219910895</v>
      </c>
      <c r="D10">
        <f>B10-C10</f>
        <v/>
      </c>
      <c r="E10" t="n">
        <v>0.543219910895</v>
      </c>
      <c r="F10">
        <f>B10-E10</f>
        <v/>
      </c>
      <c r="G10" t="n">
        <v>0.543219525201</v>
      </c>
      <c r="H10">
        <f>B10-G10</f>
        <v/>
      </c>
      <c r="I10" t="n">
        <v>0.562266446268</v>
      </c>
      <c r="J10">
        <f>B10-I10</f>
        <v/>
      </c>
      <c r="K10" t="n">
        <v>0.506475644352</v>
      </c>
      <c r="L10">
        <f>B10-K10</f>
        <v/>
      </c>
      <c r="M10" t="n">
        <v>0.540927668467</v>
      </c>
      <c r="N10">
        <f>B10-M10</f>
        <v/>
      </c>
      <c r="O10" t="n">
        <v>0.543220129128</v>
      </c>
      <c r="P10">
        <f>B10-O10</f>
        <v/>
      </c>
      <c r="Q10" t="n">
        <v>0.511665969799</v>
      </c>
      <c r="R10">
        <f>B10-Q10</f>
        <v/>
      </c>
      <c r="U10" s="3" t="n">
        <v>0</v>
      </c>
    </row>
    <row r="11">
      <c r="A11" t="n">
        <v>0.290323</v>
      </c>
      <c r="B11" t="n">
        <v>0.51756124</v>
      </c>
      <c r="C11" t="n">
        <v>0.517560916227</v>
      </c>
      <c r="D11">
        <f>B11-C11</f>
        <v/>
      </c>
      <c r="E11" t="n">
        <v>0.517560916227</v>
      </c>
      <c r="F11">
        <f>B11-E11</f>
        <v/>
      </c>
      <c r="G11" t="n">
        <v>0.517560527093</v>
      </c>
      <c r="H11">
        <f>B11-G11</f>
        <v/>
      </c>
      <c r="I11" t="n">
        <v>0.542864278474</v>
      </c>
      <c r="J11">
        <f>B11-I11</f>
        <v/>
      </c>
      <c r="K11" t="n">
        <v>0.481745624773</v>
      </c>
      <c r="L11">
        <f>B11-K11</f>
        <v/>
      </c>
      <c r="M11" t="n">
        <v>0.515743398704</v>
      </c>
      <c r="N11">
        <f>B11-M11</f>
        <v/>
      </c>
      <c r="O11" t="n">
        <v>0.517561097255</v>
      </c>
      <c r="P11">
        <f>B11-O11</f>
        <v/>
      </c>
      <c r="Q11" t="n">
        <v>0.482026401599</v>
      </c>
      <c r="R11">
        <f>B11-Q11</f>
        <v/>
      </c>
      <c r="U11" s="3" t="n">
        <v>0</v>
      </c>
    </row>
    <row r="12">
      <c r="A12" t="n">
        <v>0.322581</v>
      </c>
      <c r="B12" t="n">
        <v>0.49311419</v>
      </c>
      <c r="C12" t="n">
        <v>0.493113924274</v>
      </c>
      <c r="D12">
        <f>B12-C12</f>
        <v/>
      </c>
      <c r="E12" t="n">
        <v>0.493113924274</v>
      </c>
      <c r="F12">
        <f>B12-E12</f>
        <v/>
      </c>
      <c r="G12" t="n">
        <v>0.493113540239</v>
      </c>
      <c r="H12">
        <f>B12-G12</f>
        <v/>
      </c>
      <c r="I12" t="n">
        <v>0.52346211068</v>
      </c>
      <c r="J12">
        <f>B12-I12</f>
        <v/>
      </c>
      <c r="K12" t="n">
        <v>0.459318193099</v>
      </c>
      <c r="L12">
        <f>B12-K12</f>
        <v/>
      </c>
      <c r="M12" t="n">
        <v>0.491849015671</v>
      </c>
      <c r="N12">
        <f>B12-M12</f>
        <v/>
      </c>
      <c r="O12" t="n">
        <v>0.493114071126</v>
      </c>
      <c r="P12">
        <f>B12-O12</f>
        <v/>
      </c>
      <c r="Q12" t="n">
        <v>0.456055538046</v>
      </c>
      <c r="R12">
        <f>B12-Q12</f>
        <v/>
      </c>
      <c r="U12" s="3" t="n">
        <v>0</v>
      </c>
    </row>
    <row r="13">
      <c r="A13" t="n">
        <v>0.354839</v>
      </c>
      <c r="B13" t="n">
        <v>0.46982189</v>
      </c>
      <c r="C13" t="n">
        <v>0.469821686085</v>
      </c>
      <c r="D13">
        <f>B13-C13</f>
        <v/>
      </c>
      <c r="E13" t="n">
        <v>0.469821686085</v>
      </c>
      <c r="F13">
        <f>B13-E13</f>
        <v/>
      </c>
      <c r="G13" t="n">
        <v>0.469821314537</v>
      </c>
      <c r="H13">
        <f>B13-G13</f>
        <v/>
      </c>
      <c r="I13" t="n">
        <v>0.504059942886</v>
      </c>
      <c r="J13">
        <f>B13-I13</f>
        <v/>
      </c>
      <c r="K13" t="n">
        <v>0.438886067144</v>
      </c>
      <c r="L13">
        <f>B13-K13</f>
        <v/>
      </c>
      <c r="M13" t="n">
        <v>0.469147895762</v>
      </c>
      <c r="N13">
        <f>B13-M13</f>
        <v/>
      </c>
      <c r="O13" t="n">
        <v>0.469821801584</v>
      </c>
      <c r="P13">
        <f>B13-O13</f>
        <v/>
      </c>
      <c r="Q13" t="n">
        <v>0.433299931983</v>
      </c>
      <c r="R13">
        <f>B13-Q13</f>
        <v/>
      </c>
      <c r="U13" s="3" t="n">
        <v>0</v>
      </c>
    </row>
    <row r="14">
      <c r="A14" t="n">
        <v>0.387097</v>
      </c>
      <c r="B14" t="n">
        <v>0.44762981</v>
      </c>
      <c r="C14" t="n">
        <v>0.447629656859</v>
      </c>
      <c r="D14">
        <f>B14-C14</f>
        <v/>
      </c>
      <c r="E14" t="n">
        <v>0.447629656859</v>
      </c>
      <c r="F14">
        <f>B14-E14</f>
        <v/>
      </c>
      <c r="G14" t="n">
        <v>0.447629304143</v>
      </c>
      <c r="H14">
        <f>B14-G14</f>
        <v/>
      </c>
      <c r="I14" t="n">
        <v>0.484657775092</v>
      </c>
      <c r="J14">
        <f>B14-I14</f>
        <v/>
      </c>
      <c r="K14" t="n">
        <v>0.420194312188</v>
      </c>
      <c r="L14">
        <f>B14-K14</f>
        <v/>
      </c>
      <c r="M14" t="n">
        <v>0.447552830858</v>
      </c>
      <c r="N14">
        <f>B14-M14</f>
        <v/>
      </c>
      <c r="O14" t="n">
        <v>0.447629743641</v>
      </c>
      <c r="P14">
        <f>B14-O14</f>
        <v/>
      </c>
      <c r="Q14" t="n">
        <v>0.413361657819</v>
      </c>
      <c r="R14">
        <f>B14-Q14</f>
        <v/>
      </c>
      <c r="U14" s="3" t="n">
        <v>0</v>
      </c>
    </row>
    <row r="15">
      <c r="A15" t="n">
        <v>0.419355</v>
      </c>
      <c r="B15" t="n">
        <v>0.42648597</v>
      </c>
      <c r="C15" t="n">
        <v>0.426485868223</v>
      </c>
      <c r="D15">
        <f>B15-C15</f>
        <v/>
      </c>
      <c r="E15" t="n">
        <v>0.426485868223</v>
      </c>
      <c r="F15">
        <f>B15-E15</f>
        <v/>
      </c>
      <c r="G15" t="n">
        <v>0.42648553974</v>
      </c>
      <c r="H15">
        <f>B15-G15</f>
        <v/>
      </c>
      <c r="I15" t="n">
        <v>0.465255607298</v>
      </c>
      <c r="J15">
        <f>B15-I15</f>
        <v/>
      </c>
      <c r="K15" t="n">
        <v>0.403029649178</v>
      </c>
      <c r="L15">
        <f>B15-K15</f>
        <v/>
      </c>
      <c r="M15" t="n">
        <v>0.426984908735</v>
      </c>
      <c r="N15">
        <f>B15-M15</f>
        <v/>
      </c>
      <c r="O15" t="n">
        <v>0.426485928743</v>
      </c>
      <c r="P15">
        <f>B15-O15</f>
        <v/>
      </c>
      <c r="Q15" t="n">
        <v>0.395891932915</v>
      </c>
      <c r="R15">
        <f>B15-Q15</f>
        <v/>
      </c>
      <c r="U15" s="3" t="n">
        <v>0</v>
      </c>
    </row>
    <row r="16">
      <c r="A16" t="n">
        <v>0.451613</v>
      </c>
      <c r="B16" t="n">
        <v>0.40634086</v>
      </c>
      <c r="C16" t="n">
        <v>0.406340806528</v>
      </c>
      <c r="D16">
        <f>B16-C16</f>
        <v/>
      </c>
      <c r="E16" t="n">
        <v>0.406340806528</v>
      </c>
      <c r="F16">
        <f>B16-E16</f>
        <v/>
      </c>
      <c r="G16" t="n">
        <v>0.406340506821</v>
      </c>
      <c r="H16">
        <f>B16-G16</f>
        <v/>
      </c>
      <c r="I16" t="n">
        <v>0.445853439504</v>
      </c>
      <c r="J16">
        <f>B16-I16</f>
        <v/>
      </c>
      <c r="K16" t="n">
        <v>0.3872122806</v>
      </c>
      <c r="L16">
        <f>B16-K16</f>
        <v/>
      </c>
      <c r="M16" t="n">
        <v>0.407372549517</v>
      </c>
      <c r="N16">
        <f>B16-M16</f>
        <v/>
      </c>
      <c r="O16" t="n">
        <v>0.406340843073</v>
      </c>
      <c r="P16">
        <f>B16-O16</f>
        <v/>
      </c>
      <c r="Q16" t="n">
        <v>0.380585132508</v>
      </c>
      <c r="R16">
        <f>B16-Q16</f>
        <v/>
      </c>
      <c r="U16" s="3" t="n">
        <v>0</v>
      </c>
    </row>
    <row r="17">
      <c r="A17" t="n">
        <v>0.483871</v>
      </c>
      <c r="B17" t="n">
        <v>0.38714731</v>
      </c>
      <c r="C17" t="n">
        <v>0.387147296903</v>
      </c>
      <c r="D17">
        <f>B17-C17</f>
        <v/>
      </c>
      <c r="E17" t="n">
        <v>0.387147296903</v>
      </c>
      <c r="F17">
        <f>B17-E17</f>
        <v/>
      </c>
      <c r="G17" t="n">
        <v>0.387147029746</v>
      </c>
      <c r="H17">
        <f>B17-G17</f>
        <v/>
      </c>
      <c r="I17" t="n">
        <v>0.42645127171</v>
      </c>
      <c r="J17">
        <f>B17-I17</f>
        <v/>
      </c>
      <c r="K17" t="n">
        <v>0.372589568488</v>
      </c>
      <c r="L17">
        <f>B17-K17</f>
        <v/>
      </c>
      <c r="M17" t="n">
        <v>0.388650673379</v>
      </c>
      <c r="N17">
        <f>B17-M17</f>
        <v/>
      </c>
      <c r="O17" t="n">
        <v>0.387147311603</v>
      </c>
      <c r="P17">
        <f>B17-O17</f>
        <v/>
      </c>
      <c r="Q17" t="n">
        <v>0.367173466239</v>
      </c>
      <c r="R17">
        <f>B17-Q17</f>
        <v/>
      </c>
      <c r="U17" s="3" t="n">
        <v>0</v>
      </c>
    </row>
    <row r="18">
      <c r="A18" t="n">
        <v>0.5161289999999999</v>
      </c>
      <c r="B18" t="n">
        <v>0.36886037</v>
      </c>
      <c r="C18" t="n">
        <v>0.368860392782</v>
      </c>
      <c r="D18">
        <f>B18-C18</f>
        <v/>
      </c>
      <c r="E18" t="n">
        <v>0.368860392782</v>
      </c>
      <c r="F18">
        <f>B18-E18</f>
        <v/>
      </c>
      <c r="G18" t="n">
        <v>0.368860161252</v>
      </c>
      <c r="H18">
        <f>B18-G18</f>
        <v/>
      </c>
      <c r="I18" t="n">
        <v>0.407049103915</v>
      </c>
      <c r="J18">
        <f>B18-I18</f>
        <v/>
      </c>
      <c r="K18" t="n">
        <v>0.359031092758</v>
      </c>
      <c r="L18">
        <f>B18-K18</f>
        <v/>
      </c>
      <c r="M18" t="n">
        <v>0.370759979102</v>
      </c>
      <c r="N18">
        <f>B18-M18</f>
        <v/>
      </c>
      <c r="O18" t="n">
        <v>0.368860387619</v>
      </c>
      <c r="P18">
        <f>B18-O18</f>
        <v/>
      </c>
      <c r="Q18" t="n">
        <v>0.355422297863</v>
      </c>
      <c r="R18">
        <f>B18-Q18</f>
        <v/>
      </c>
      <c r="U18" s="3" t="n">
        <v>0</v>
      </c>
    </row>
    <row r="19">
      <c r="A19" t="n">
        <v>0.548387</v>
      </c>
      <c r="B19" t="n">
        <v>0.35143722</v>
      </c>
      <c r="C19" t="n">
        <v>0.35143727065</v>
      </c>
      <c r="D19">
        <f>B19-C19</f>
        <v/>
      </c>
      <c r="E19" t="n">
        <v>0.35143727065</v>
      </c>
      <c r="F19">
        <f>B19-E19</f>
        <v/>
      </c>
      <c r="G19" t="n">
        <v>0.3514370772</v>
      </c>
      <c r="H19">
        <f>B19-G19</f>
        <v/>
      </c>
      <c r="I19" t="n">
        <v>0.387646936121</v>
      </c>
      <c r="J19">
        <f>B19-I19</f>
        <v/>
      </c>
      <c r="K19" t="n">
        <v>0.34642475063</v>
      </c>
      <c r="L19">
        <f>B19-K19</f>
        <v/>
      </c>
      <c r="M19" t="n">
        <v>0.353646316629</v>
      </c>
      <c r="N19">
        <f>B19-M19</f>
        <v/>
      </c>
      <c r="O19" t="n">
        <v>0.351437247468</v>
      </c>
      <c r="P19">
        <f>B19-O19</f>
        <v/>
      </c>
      <c r="Q19" t="n">
        <v>0.345126041242</v>
      </c>
      <c r="R19">
        <f>B19-Q19</f>
        <v/>
      </c>
      <c r="U19" s="3" t="n">
        <v>0</v>
      </c>
    </row>
    <row r="20">
      <c r="A20" t="n">
        <v>0.580645</v>
      </c>
      <c r="B20" t="n">
        <v>0.33483705</v>
      </c>
      <c r="C20" t="n">
        <v>0.334837129762</v>
      </c>
      <c r="D20">
        <f>B20-C20</f>
        <v/>
      </c>
      <c r="E20" t="n">
        <v>0.334837129762</v>
      </c>
      <c r="F20">
        <f>B20-E20</f>
        <v/>
      </c>
      <c r="G20" t="n">
        <v>0.334836976284</v>
      </c>
      <c r="H20">
        <f>B20-G20</f>
        <v/>
      </c>
      <c r="I20" t="n">
        <v>0.368244768327</v>
      </c>
      <c r="J20">
        <f>B20-I20</f>
        <v/>
      </c>
      <c r="K20" t="n">
        <v>0.334673649911</v>
      </c>
      <c r="L20">
        <f>B20-K20</f>
        <v/>
      </c>
      <c r="M20" t="n">
        <v>0.337260139638</v>
      </c>
      <c r="N20">
        <f>B20-M20</f>
        <v/>
      </c>
      <c r="O20" t="n">
        <v>0.334837090275</v>
      </c>
      <c r="P20">
        <f>B20-O20</f>
        <v/>
      </c>
      <c r="Q20" t="n">
        <v>0.33610456381</v>
      </c>
      <c r="R20">
        <f>B20-Q20</f>
        <v/>
      </c>
      <c r="U20" s="3" t="n">
        <v>0</v>
      </c>
    </row>
    <row r="21">
      <c r="A21" t="n">
        <v>0.612903</v>
      </c>
      <c r="B21" t="n">
        <v>0.31902099</v>
      </c>
      <c r="C21" t="n">
        <v>0.319021096596</v>
      </c>
      <c r="D21">
        <f>B21-C21</f>
        <v/>
      </c>
      <c r="E21" t="n">
        <v>0.319021096596</v>
      </c>
      <c r="F21">
        <f>B21-E21</f>
        <v/>
      </c>
      <c r="G21" t="n">
        <v>0.319020984481</v>
      </c>
      <c r="H21">
        <f>B21-G21</f>
        <v/>
      </c>
      <c r="I21" t="n">
        <v>0.348842600533</v>
      </c>
      <c r="J21">
        <f>B21-I21</f>
        <v/>
      </c>
      <c r="K21" t="n">
        <v>0.323693613839</v>
      </c>
      <c r="L21">
        <f>B21-K21</f>
        <v/>
      </c>
      <c r="M21" t="n">
        <v>0.321556026474</v>
      </c>
      <c r="N21">
        <f>B21-M21</f>
        <v/>
      </c>
      <c r="O21" t="n">
        <v>0.319021042395</v>
      </c>
      <c r="P21">
        <f>B21-O21</f>
        <v/>
      </c>
      <c r="Q21" t="n">
        <v>0.328200035198</v>
      </c>
      <c r="R21">
        <f>B21-Q21</f>
        <v/>
      </c>
      <c r="U21" s="3" t="n">
        <v>0</v>
      </c>
    </row>
    <row r="22">
      <c r="A22" t="n">
        <v>0.645161</v>
      </c>
      <c r="B22" t="n">
        <v>0.303952</v>
      </c>
      <c r="C22" t="n">
        <v>0.303952133819</v>
      </c>
      <c r="D22">
        <f>B22-C22</f>
        <v/>
      </c>
      <c r="E22" t="n">
        <v>0.303952133819</v>
      </c>
      <c r="F22">
        <f>B22-E22</f>
        <v/>
      </c>
      <c r="G22" t="n">
        <v>0.303952064013</v>
      </c>
      <c r="H22">
        <f>B22-G22</f>
        <v/>
      </c>
      <c r="I22" t="n">
        <v>0.329440432739</v>
      </c>
      <c r="J22">
        <f>B22-I22</f>
        <v/>
      </c>
      <c r="K22" t="n">
        <v>0.313411161488</v>
      </c>
      <c r="L22">
        <f>B22-K22</f>
        <v/>
      </c>
      <c r="M22" t="n">
        <v>0.306492259679</v>
      </c>
      <c r="N22">
        <f>B22-M22</f>
        <v/>
      </c>
      <c r="O22" t="n">
        <v>0.303952066383</v>
      </c>
      <c r="P22">
        <f>B22-O22</f>
        <v/>
      </c>
      <c r="Q22" t="n">
        <v>0.321274166012</v>
      </c>
      <c r="R22">
        <f>B22-Q22</f>
        <v/>
      </c>
      <c r="U22" s="3" t="n">
        <v>0</v>
      </c>
    </row>
    <row r="23">
      <c r="A23" t="n">
        <v>0.677419</v>
      </c>
      <c r="B23" t="n">
        <v>0.2895948</v>
      </c>
      <c r="C23" t="n">
        <v>0.28959495356</v>
      </c>
      <c r="D23">
        <f>B23-C23</f>
        <v/>
      </c>
      <c r="E23" t="n">
        <v>0.28959495356</v>
      </c>
      <c r="F23">
        <f>B23-E23</f>
        <v/>
      </c>
      <c r="G23" t="n">
        <v>0.289594926609</v>
      </c>
      <c r="H23">
        <f>B23-G23</f>
        <v/>
      </c>
      <c r="I23" t="n">
        <v>0.310038264945</v>
      </c>
      <c r="J23">
        <f>B23-I23</f>
        <v/>
      </c>
      <c r="K23" t="n">
        <v>0.303761861252</v>
      </c>
      <c r="L23">
        <f>B23-K23</f>
        <v/>
      </c>
      <c r="M23" t="n">
        <v>0.292030455942</v>
      </c>
      <c r="N23">
        <f>B23-M23</f>
        <v/>
      </c>
      <c r="O23" t="n">
        <v>0.28959487426</v>
      </c>
      <c r="P23">
        <f>B23-O23</f>
        <v/>
      </c>
      <c r="Q23" t="n">
        <v>0.315205788461</v>
      </c>
      <c r="R23">
        <f>B23-Q23</f>
        <v/>
      </c>
      <c r="U23" s="3" t="n">
        <v>0</v>
      </c>
    </row>
    <row r="24">
      <c r="A24" t="n">
        <v>0.709677</v>
      </c>
      <c r="B24" t="n">
        <v>0.27591576</v>
      </c>
      <c r="C24" t="n">
        <v>0.275915934768</v>
      </c>
      <c r="D24">
        <f>B24-C24</f>
        <v/>
      </c>
      <c r="E24" t="n">
        <v>0.275915934768</v>
      </c>
      <c r="F24">
        <f>B24-E24</f>
        <v/>
      </c>
      <c r="G24" t="n">
        <v>0.27591595087</v>
      </c>
      <c r="H24">
        <f>B24-G24</f>
        <v/>
      </c>
      <c r="I24" t="n">
        <v>0.290636097151</v>
      </c>
      <c r="J24">
        <f>B24-I24</f>
        <v/>
      </c>
      <c r="K24" t="n">
        <v>0.294688979402</v>
      </c>
      <c r="L24">
        <f>B24-K24</f>
        <v/>
      </c>
      <c r="M24" t="n">
        <v>0.278135239525</v>
      </c>
      <c r="N24">
        <f>B24-M24</f>
        <v/>
      </c>
      <c r="O24" t="n">
        <v>0.275915844875</v>
      </c>
      <c r="P24">
        <f>B24-O24</f>
        <v/>
      </c>
      <c r="Q24" t="n">
        <v>0.309888736533</v>
      </c>
      <c r="R24">
        <f>B24-Q24</f>
        <v/>
      </c>
      <c r="U24" s="3" t="n">
        <v>0</v>
      </c>
    </row>
    <row r="25">
      <c r="A25" t="n">
        <v>0.741935</v>
      </c>
      <c r="B25" t="n">
        <v>0.26288285</v>
      </c>
      <c r="C25" t="n">
        <v>0.262883044483</v>
      </c>
      <c r="D25">
        <f>B25-C25</f>
        <v/>
      </c>
      <c r="E25" t="n">
        <v>0.262883044483</v>
      </c>
      <c r="F25">
        <f>B25-E25</f>
        <v/>
      </c>
      <c r="G25" t="n">
        <v>0.262883103526</v>
      </c>
      <c r="H25">
        <f>B25-G25</f>
        <v/>
      </c>
      <c r="I25" t="n">
        <v>0.271233929357</v>
      </c>
      <c r="J25">
        <f>B25-I25</f>
        <v/>
      </c>
      <c r="K25" t="n">
        <v>0.286142363812</v>
      </c>
      <c r="L25">
        <f>B25-K25</f>
        <v/>
      </c>
      <c r="M25" t="n">
        <v>0.264773953351</v>
      </c>
      <c r="N25">
        <f>B25-M25</f>
        <v/>
      </c>
      <c r="O25" t="n">
        <v>0.262882945175</v>
      </c>
      <c r="P25">
        <f>B25-O25</f>
        <v/>
      </c>
      <c r="Q25" t="n">
        <v>0.305229988628</v>
      </c>
      <c r="R25">
        <f>B25-Q25</f>
        <v/>
      </c>
      <c r="U25" s="3" t="n">
        <v>0</v>
      </c>
    </row>
    <row r="26">
      <c r="A26" t="n">
        <v>0.774194</v>
      </c>
      <c r="B26" t="n">
        <v>0.25046555</v>
      </c>
      <c r="C26" t="n">
        <v>0.250465387125</v>
      </c>
      <c r="D26">
        <f>B26-C26</f>
        <v/>
      </c>
      <c r="E26" t="n">
        <v>0.250465387125</v>
      </c>
      <c r="F26">
        <f>B26-E26</f>
        <v/>
      </c>
      <c r="G26" t="n">
        <v>0.250465488727</v>
      </c>
      <c r="H26">
        <f>B26-G26</f>
        <v/>
      </c>
      <c r="I26" t="n">
        <v>0.251831160095</v>
      </c>
      <c r="J26">
        <f>B26-I26</f>
        <v/>
      </c>
      <c r="K26" t="n">
        <v>0.278077273488</v>
      </c>
      <c r="L26">
        <f>B26-K26</f>
        <v/>
      </c>
      <c r="M26" t="n">
        <v>0.251916011689</v>
      </c>
      <c r="N26">
        <f>B26-M26</f>
        <v/>
      </c>
      <c r="O26" t="n">
        <v>0.250465279492</v>
      </c>
      <c r="P26">
        <f>B26-O26</f>
        <v/>
      </c>
      <c r="Q26" t="n">
        <v>0.301147921784</v>
      </c>
      <c r="R26">
        <f>B26-Q26</f>
        <v/>
      </c>
      <c r="U26" s="3" t="n">
        <v>0</v>
      </c>
    </row>
    <row r="27">
      <c r="A27" t="n">
        <v>0.8064519999999999</v>
      </c>
      <c r="B27" t="n">
        <v>0.23863479</v>
      </c>
      <c r="C27" t="n">
        <v>0.23863465356</v>
      </c>
      <c r="D27">
        <f>B27-C27</f>
        <v/>
      </c>
      <c r="E27" t="n">
        <v>0.23863465356</v>
      </c>
      <c r="F27">
        <f>B27-E27</f>
        <v/>
      </c>
      <c r="G27" t="n">
        <v>0.238634797099</v>
      </c>
      <c r="H27">
        <f>B27-G27</f>
        <v/>
      </c>
      <c r="I27" t="n">
        <v>0.232428992301</v>
      </c>
      <c r="J27">
        <f>B27-I27</f>
        <v/>
      </c>
      <c r="K27" t="n">
        <v>0.270454588612</v>
      </c>
      <c r="L27">
        <f>B27-K27</f>
        <v/>
      </c>
      <c r="M27" t="n">
        <v>0.23953425098</v>
      </c>
      <c r="N27">
        <f>B27-M27</f>
        <v/>
      </c>
      <c r="O27" t="n">
        <v>0.23863453861</v>
      </c>
      <c r="P27">
        <f>B27-O27</f>
        <v/>
      </c>
      <c r="Q27" t="n">
        <v>0.297571373863</v>
      </c>
      <c r="R27">
        <f>B27-Q27</f>
        <v/>
      </c>
      <c r="U27" s="3" t="n">
        <v>0</v>
      </c>
    </row>
    <row r="28">
      <c r="A28" t="n">
        <v>0.83871</v>
      </c>
      <c r="B28" t="n">
        <v>0.22736285</v>
      </c>
      <c r="C28" t="n">
        <v>0.227362744742</v>
      </c>
      <c r="D28">
        <f>B28-C28</f>
        <v/>
      </c>
      <c r="E28" t="n">
        <v>0.227362744742</v>
      </c>
      <c r="F28">
        <f>B28-E28</f>
        <v/>
      </c>
      <c r="G28" t="n">
        <v>0.227362929394</v>
      </c>
      <c r="H28">
        <f>B28-G28</f>
        <v/>
      </c>
      <c r="I28" t="n">
        <v>0.213026824507</v>
      </c>
      <c r="J28">
        <f>B28-I28</f>
        <v/>
      </c>
      <c r="K28" t="n">
        <v>0.263238661406</v>
      </c>
      <c r="L28">
        <f>B28-K28</f>
        <v/>
      </c>
      <c r="M28" t="n">
        <v>0.227602336657</v>
      </c>
      <c r="N28">
        <f>B28-M28</f>
        <v/>
      </c>
      <c r="O28" t="n">
        <v>0.227362623407</v>
      </c>
      <c r="P28">
        <f>B28-O28</f>
        <v/>
      </c>
      <c r="Q28" t="n">
        <v>0.294437638222</v>
      </c>
      <c r="R28">
        <f>B28-Q28</f>
        <v/>
      </c>
      <c r="U28" s="3" t="n">
        <v>0</v>
      </c>
    </row>
    <row r="29">
      <c r="A29" t="n">
        <v>0.870968</v>
      </c>
      <c r="B29" t="n">
        <v>0.21662335</v>
      </c>
      <c r="C29" t="n">
        <v>0.216623264583</v>
      </c>
      <c r="D29">
        <f>B29-C29</f>
        <v/>
      </c>
      <c r="E29" t="n">
        <v>0.216623264583</v>
      </c>
      <c r="F29">
        <f>B29-E29</f>
        <v/>
      </c>
      <c r="G29" t="n">
        <v>0.216623489345</v>
      </c>
      <c r="H29">
        <f>B29-G29</f>
        <v/>
      </c>
      <c r="I29" t="n">
        <v>0.193624656713</v>
      </c>
      <c r="J29">
        <f>B29-I29</f>
        <v/>
      </c>
      <c r="K29" t="n">
        <v>0.256397780181</v>
      </c>
      <c r="L29">
        <f>B29-K29</f>
        <v/>
      </c>
      <c r="M29" t="n">
        <v>0.216096190807</v>
      </c>
      <c r="N29">
        <f>B29-M29</f>
        <v/>
      </c>
      <c r="O29" t="n">
        <v>0.216623137721</v>
      </c>
      <c r="P29">
        <f>B29-O29</f>
        <v/>
      </c>
      <c r="Q29" t="n">
        <v>0.291691890287</v>
      </c>
      <c r="R29">
        <f>B29-Q29</f>
        <v/>
      </c>
      <c r="U29" s="3" t="n">
        <v>0</v>
      </c>
    </row>
    <row r="30">
      <c r="A30" t="n">
        <v>0.903226</v>
      </c>
      <c r="B30" t="n">
        <v>0.20639112</v>
      </c>
      <c r="C30" t="n">
        <v>0.206391063812</v>
      </c>
      <c r="D30">
        <f>B30-C30</f>
        <v/>
      </c>
      <c r="E30" t="n">
        <v>0.206391063812</v>
      </c>
      <c r="F30">
        <f>B30-E30</f>
        <v/>
      </c>
      <c r="G30" t="n">
        <v>0.206391327535</v>
      </c>
      <c r="H30">
        <f>B30-G30</f>
        <v/>
      </c>
      <c r="I30" t="n">
        <v>0.174222488919</v>
      </c>
      <c r="J30">
        <f>B30-I30</f>
        <v/>
      </c>
      <c r="K30" t="n">
        <v>0.249903446165</v>
      </c>
      <c r="L30">
        <f>B30-K30</f>
        <v/>
      </c>
      <c r="M30" t="n">
        <v>0.204993423746</v>
      </c>
      <c r="N30">
        <f>B30-M30</f>
        <v/>
      </c>
      <c r="O30" t="n">
        <v>0.206390932217</v>
      </c>
      <c r="P30">
        <f>B30-O30</f>
        <v/>
      </c>
      <c r="Q30" t="n">
        <v>0.289286093312</v>
      </c>
      <c r="R30">
        <f>B30-Q30</f>
        <v/>
      </c>
      <c r="U30" s="3" t="n">
        <v>0</v>
      </c>
    </row>
    <row r="31">
      <c r="A31" t="n">
        <v>0.935484</v>
      </c>
      <c r="B31" t="n">
        <v>0.19664222</v>
      </c>
      <c r="C31" t="n">
        <v>0.196642181086</v>
      </c>
      <c r="D31">
        <f>B31-C31</f>
        <v/>
      </c>
      <c r="E31" t="n">
        <v>0.196642181086</v>
      </c>
      <c r="F31">
        <f>B31-E31</f>
        <v/>
      </c>
      <c r="G31" t="n">
        <v>0.196642482491</v>
      </c>
      <c r="H31">
        <f>B31-G31</f>
        <v/>
      </c>
      <c r="I31" t="n">
        <v>0.154820321125</v>
      </c>
      <c r="J31">
        <f>B31-I31</f>
        <v/>
      </c>
      <c r="K31" t="n">
        <v>0.243729976656</v>
      </c>
      <c r="L31">
        <f>B31-K31</f>
        <v/>
      </c>
      <c r="M31" t="n">
        <v>0.194273188608</v>
      </c>
      <c r="N31">
        <f>B31-M31</f>
        <v/>
      </c>
      <c r="O31" t="n">
        <v>0.196642045488</v>
      </c>
      <c r="P31">
        <f>B31-O31</f>
        <v/>
      </c>
      <c r="Q31" t="n">
        <v>0.287178157981</v>
      </c>
      <c r="R31">
        <f>B31-Q31</f>
        <v/>
      </c>
      <c r="U31" s="3" t="n">
        <v>0</v>
      </c>
    </row>
    <row r="32">
      <c r="A32" t="n">
        <v>0.967742</v>
      </c>
      <c r="B32" t="n">
        <v>0.1873538</v>
      </c>
      <c r="C32" t="n">
        <v>0.187353786874</v>
      </c>
      <c r="D32">
        <f>B32-C32</f>
        <v/>
      </c>
      <c r="E32" t="n">
        <v>0.187353786874</v>
      </c>
      <c r="F32">
        <f>B32-E32</f>
        <v/>
      </c>
      <c r="G32" t="n">
        <v>0.18735412458</v>
      </c>
      <c r="H32">
        <f>B32-G32</f>
        <v/>
      </c>
      <c r="I32" t="n">
        <v>0.135418153331</v>
      </c>
      <c r="J32">
        <f>B32-I32</f>
        <v/>
      </c>
      <c r="K32" t="n">
        <v>0.237854165573</v>
      </c>
      <c r="L32">
        <f>B32-K32</f>
        <v/>
      </c>
      <c r="M32" t="n">
        <v>0.183916050706</v>
      </c>
      <c r="N32">
        <f>B32-M32</f>
        <v/>
      </c>
      <c r="O32" t="n">
        <v>0.187353647945</v>
      </c>
      <c r="P32">
        <f>B32-O32</f>
        <v/>
      </c>
      <c r="Q32" t="n">
        <v>0.285331206054</v>
      </c>
      <c r="R32">
        <f>B32-Q32</f>
        <v/>
      </c>
      <c r="U32" s="3" t="n">
        <v>0</v>
      </c>
    </row>
    <row r="33">
      <c r="A33" t="n">
        <v>1</v>
      </c>
      <c r="B33" t="n">
        <v>0.17850413</v>
      </c>
      <c r="C33" t="n">
        <v>0.17850413</v>
      </c>
      <c r="D33">
        <f>B33-C33</f>
        <v/>
      </c>
      <c r="E33" t="n">
        <v>0.17850413</v>
      </c>
      <c r="F33">
        <f>B33-E33</f>
        <v/>
      </c>
      <c r="G33" t="n">
        <v>0.178504502539</v>
      </c>
      <c r="H33">
        <f>B33-G33</f>
        <v/>
      </c>
      <c r="I33" t="n">
        <v>0.116015985537</v>
      </c>
      <c r="J33">
        <f>B33-I33</f>
        <v/>
      </c>
      <c r="K33" t="n">
        <v>0.232254991952</v>
      </c>
      <c r="L33">
        <f>B33-K33</f>
        <v/>
      </c>
      <c r="M33" t="n">
        <v>0.173903869943</v>
      </c>
      <c r="N33">
        <f>B33-M33</f>
        <v/>
      </c>
      <c r="O33" t="n">
        <v>0.178503988357</v>
      </c>
      <c r="P33">
        <f>B33-O33</f>
        <v/>
      </c>
      <c r="Q33" t="n">
        <v>0.283712925184</v>
      </c>
      <c r="R33">
        <f>B33-Q33</f>
        <v/>
      </c>
      <c r="U33" s="3" t="n">
        <v>0</v>
      </c>
    </row>
    <row r="36">
      <c r="A36" s="4" t="inlineStr">
        <is>
          <t>#</t>
        </is>
      </c>
      <c r="B36" s="4" t="inlineStr">
        <is>
          <t>Name</t>
        </is>
      </c>
      <c r="C36" s="4" t="inlineStr">
        <is>
          <t>Formula</t>
        </is>
      </c>
      <c r="D36" s="4" t="inlineStr">
        <is>
          <t>R²</t>
        </is>
      </c>
      <c r="E36" s="4" t="inlineStr">
        <is>
          <t>Adj. R²</t>
        </is>
      </c>
      <c r="F36" s="4" t="inlineStr">
        <is>
          <t>RMSE</t>
        </is>
      </c>
      <c r="G36" s="4" t="inlineStr">
        <is>
          <t>Diffusion Coefficient</t>
        </is>
      </c>
      <c r="H36" s="4" t="inlineStr">
        <is>
          <t>Parameters</t>
        </is>
      </c>
      <c r="I36" s="4" t="inlineStr">
        <is>
          <t>B</t>
        </is>
      </c>
      <c r="J36" s="4" t="inlineStr">
        <is>
          <t>F</t>
        </is>
      </c>
      <c r="K36" s="4" t="inlineStr">
        <is>
          <t>G</t>
        </is>
      </c>
      <c r="L36" s="4" t="inlineStr">
        <is>
          <t>B1</t>
        </is>
      </c>
      <c r="M36" s="4" t="inlineStr">
        <is>
          <t>F1</t>
        </is>
      </c>
      <c r="N36" s="4" t="inlineStr">
        <is>
          <t>B2</t>
        </is>
      </c>
      <c r="O36" s="4" t="inlineStr">
        <is>
          <t>F2</t>
        </is>
      </c>
      <c r="P36" s="4" t="inlineStr">
        <is>
          <t>A</t>
        </is>
      </c>
      <c r="Q36" s="4" t="inlineStr">
        <is>
          <t>C</t>
        </is>
      </c>
      <c r="R36" s="4" t="inlineStr">
        <is>
          <t>I</t>
        </is>
      </c>
      <c r="S36" s="4" t="inlineStr">
        <is>
          <t>K</t>
        </is>
      </c>
      <c r="T36" s="4" t="inlineStr">
        <is>
          <t>Q</t>
        </is>
      </c>
    </row>
    <row r="37">
      <c r="A37" s="5" t="n">
        <v>1</v>
      </c>
      <c r="B37" t="inlineStr">
        <is>
          <t>Mono-Exp</t>
        </is>
      </c>
      <c r="C37" t="inlineStr">
        <is>
          <t>y = B·exp(−F·x)</t>
        </is>
      </c>
      <c r="D37" t="n">
        <v>1</v>
      </c>
      <c r="E37" t="n">
        <v>1</v>
      </c>
      <c r="F37" t="n">
        <v>1.9e-07</v>
      </c>
      <c r="G37" t="inlineStr">
        <is>
          <t>1.500000</t>
        </is>
      </c>
      <c r="H37" t="inlineStr">
        <is>
          <t>B=0.800000,  F=1.500000</t>
        </is>
      </c>
      <c r="I37" t="n">
        <v>0.8</v>
      </c>
      <c r="J37" t="n">
        <v>1.499999989460994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6" t="n">
        <v>2</v>
      </c>
      <c r="B38" s="7" t="inlineStr">
        <is>
          <t>Mono-Exp+Offset</t>
        </is>
      </c>
      <c r="C38" s="7" t="inlineStr">
        <is>
          <t>y = B + F·exp(−G·x)</t>
        </is>
      </c>
      <c r="D38" s="7" t="n">
        <v>1</v>
      </c>
      <c r="E38" s="7" t="n">
        <v>1</v>
      </c>
      <c r="F38" s="7" t="n">
        <v>1.9e-07</v>
      </c>
      <c r="G38" s="7" t="inlineStr">
        <is>
          <t>1.500000</t>
        </is>
      </c>
      <c r="H38" s="7" t="inlineStr">
        <is>
          <t>B=0,  F=0.800000,  G=1.500000</t>
        </is>
      </c>
      <c r="I38" s="7" t="n">
        <v>0</v>
      </c>
      <c r="J38" s="7" t="n">
        <v>0.8</v>
      </c>
      <c r="K38" s="7" t="n">
        <v>1.499999989460994</v>
      </c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</row>
    <row r="39">
      <c r="A39" s="5" t="n">
        <v>3</v>
      </c>
      <c r="B39" t="inlineStr">
        <is>
          <t>Bi-Exp</t>
        </is>
      </c>
      <c r="C39" t="inlineStr">
        <is>
          <t>y = B1·exp(−F1·x) + B2·exp(−F2·x)</t>
        </is>
      </c>
      <c r="D39" t="n">
        <v>1</v>
      </c>
      <c r="E39" t="n">
        <v>1</v>
      </c>
      <c r="F39" t="n">
        <v>3.1e-07</v>
      </c>
      <c r="G39" t="inlineStr">
        <is>
          <t>1.499115, 1.516173</t>
        </is>
      </c>
      <c r="H39" t="inlineStr">
        <is>
          <t>B1=0.758248,  F1=1.499115,  B2=0.041752,  F2=1.516173</t>
        </is>
      </c>
      <c r="I39" t="inlineStr"/>
      <c r="J39" t="inlineStr"/>
      <c r="K39" t="inlineStr"/>
      <c r="L39" t="n">
        <v>0.7582480737446315</v>
      </c>
      <c r="M39" t="n">
        <v>1.499114976764804</v>
      </c>
      <c r="N39" t="n">
        <v>0.04175205620161444</v>
      </c>
      <c r="O39" t="n">
        <v>1.516172787032133</v>
      </c>
      <c r="P39" t="inlineStr"/>
      <c r="Q39" t="inlineStr"/>
      <c r="R39" t="inlineStr"/>
      <c r="S39" t="inlineStr"/>
      <c r="T39" t="inlineStr"/>
    </row>
    <row r="40">
      <c r="A40" s="6" t="n">
        <v>4</v>
      </c>
      <c r="B40" s="7" t="inlineStr">
        <is>
          <t>Linear</t>
        </is>
      </c>
      <c r="C40" s="7" t="inlineStr">
        <is>
          <t>y = A + B·x  (OLS)</t>
        </is>
      </c>
      <c r="D40" s="7" t="n">
        <v>0.9623444799999999</v>
      </c>
      <c r="E40" s="7" t="n">
        <v>0.95974755</v>
      </c>
      <c r="F40" s="7" t="n">
        <v>0.03543622</v>
      </c>
      <c r="G40" s="7" t="inlineStr">
        <is>
          <t>-0.601468</t>
        </is>
      </c>
      <c r="H40" s="7" t="inlineStr">
        <is>
          <t>A=0.717484,  B=-0.601468</t>
        </is>
      </c>
      <c r="I40" s="7" t="n">
        <v>-0.6014684045518893</v>
      </c>
      <c r="J40" s="7" t="inlineStr"/>
      <c r="K40" s="7" t="inlineStr"/>
      <c r="L40" s="7" t="inlineStr"/>
      <c r="M40" s="7" t="inlineStr"/>
      <c r="N40" s="7" t="inlineStr"/>
      <c r="O40" s="7" t="inlineStr"/>
      <c r="P40" s="7" t="n">
        <v>0.7174843900884447</v>
      </c>
      <c r="Q40" s="7" t="inlineStr"/>
      <c r="R40" s="7" t="inlineStr"/>
      <c r="S40" s="7" t="inlineStr"/>
      <c r="T40" s="7" t="inlineStr"/>
    </row>
    <row r="41">
      <c r="A41" s="5" t="n">
        <v>5</v>
      </c>
      <c r="B41" t="inlineStr">
        <is>
          <t>Inv.Linear</t>
        </is>
      </c>
      <c r="C41" t="inlineStr">
        <is>
          <t>y = 1/(A + B·x)</t>
        </is>
      </c>
      <c r="D41" t="n">
        <v>0.97148806</v>
      </c>
      <c r="E41" t="n">
        <v>0.96952172</v>
      </c>
      <c r="F41" t="n">
        <v>0.03083518</v>
      </c>
      <c r="G41" t="inlineStr">
        <is>
          <t>3.142033</t>
        </is>
      </c>
      <c r="H41" t="inlineStr">
        <is>
          <t>A=1.163580,  B=3.142033</t>
        </is>
      </c>
      <c r="I41" t="n">
        <v>3.142032536271901</v>
      </c>
      <c r="J41" t="inlineStr"/>
      <c r="K41" t="inlineStr"/>
      <c r="L41" t="inlineStr"/>
      <c r="M41" t="inlineStr"/>
      <c r="N41" t="inlineStr"/>
      <c r="O41" t="inlineStr"/>
      <c r="P41" t="n">
        <v>1.163579978634954</v>
      </c>
      <c r="Q41" t="inlineStr"/>
      <c r="R41" t="inlineStr"/>
      <c r="S41" t="inlineStr"/>
      <c r="T41" t="inlineStr"/>
    </row>
    <row r="42">
      <c r="A42" s="6" t="n">
        <v>6</v>
      </c>
      <c r="B42" s="7" t="inlineStr">
        <is>
          <t>Inv.Lin+Offset</t>
        </is>
      </c>
      <c r="C42" s="7" t="inlineStr">
        <is>
          <t>y = 1/(A + B·x) + C</t>
        </is>
      </c>
      <c r="D42" s="7" t="n">
        <v>0.99985325</v>
      </c>
      <c r="E42" s="7" t="n">
        <v>0.99983753</v>
      </c>
      <c r="F42" s="7" t="n">
        <v>0.00221218</v>
      </c>
      <c r="G42" s="7" t="inlineStr">
        <is>
          <t>0.873208</t>
        </is>
      </c>
      <c r="H42" s="7" t="inlineStr">
        <is>
          <t>A=0.818245,  B=0.873208,  C=-0.417304</t>
        </is>
      </c>
      <c r="I42" s="7" t="n">
        <v>0.8732083880813615</v>
      </c>
      <c r="J42" s="7" t="inlineStr"/>
      <c r="K42" s="7" t="inlineStr"/>
      <c r="L42" s="7" t="inlineStr"/>
      <c r="M42" s="7" t="inlineStr"/>
      <c r="N42" s="7" t="inlineStr"/>
      <c r="O42" s="7" t="inlineStr"/>
      <c r="P42" s="7" t="n">
        <v>0.8182446844305629</v>
      </c>
      <c r="Q42" s="7" t="n">
        <v>-0.4173037823719535</v>
      </c>
      <c r="R42" s="7" t="inlineStr"/>
      <c r="S42" s="7" t="inlineStr"/>
      <c r="T42" s="7" t="inlineStr"/>
    </row>
    <row r="43">
      <c r="A43" s="5" t="n">
        <v>7</v>
      </c>
      <c r="B43" t="inlineStr">
        <is>
          <t>Intermediate</t>
        </is>
      </c>
      <c r="C43" t="inlineStr">
        <is>
          <t>y = I·(exp(−K·x)−exp(−Q·x))/(Q/K−1)</t>
        </is>
      </c>
      <c r="D43" t="n">
        <v>0.40025897</v>
      </c>
      <c r="E43" t="n">
        <v>0.336001</v>
      </c>
      <c r="F43" t="n">
        <v>0.14142136</v>
      </c>
      <c r="G43" t="inlineStr">
        <is>
          <t>378.069794, 1.500002</t>
        </is>
      </c>
      <c r="H43" t="inlineStr">
        <is>
          <t>I=0.796827,  K=378.069794,  Q=1.500002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0.7968266308779236</v>
      </c>
      <c r="S43" t="n">
        <v>378.0697943394435</v>
      </c>
      <c r="T43" t="n">
        <v>1.500001600436076</v>
      </c>
    </row>
    <row r="44">
      <c r="A44" s="6" t="n">
        <v>8</v>
      </c>
      <c r="B44" s="7" t="inlineStr">
        <is>
          <t>Interm+Offset</t>
        </is>
      </c>
      <c r="C44" s="7" t="inlineStr">
        <is>
          <t>y = model_7 + C</t>
        </is>
      </c>
      <c r="D44" s="7" t="n">
        <v>0.67367643</v>
      </c>
      <c r="E44" s="7" t="n">
        <v>0.6253322</v>
      </c>
      <c r="F44" s="7" t="n">
        <v>0.10431754</v>
      </c>
      <c r="G44" s="7" t="inlineStr">
        <is>
          <t>4.097349, 49.828195</t>
        </is>
      </c>
      <c r="H44" s="7" t="inlineStr">
        <is>
          <t>I=7.692347,  K=4.097349,  Q=49.828195,  C=0.272261</t>
        </is>
      </c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n">
        <v>0.2722605227190914</v>
      </c>
      <c r="R44" s="7" t="n">
        <v>7.692347407398596</v>
      </c>
      <c r="S44" s="7" t="n">
        <v>4.097348836223588</v>
      </c>
      <c r="T44" s="7" t="n">
        <v>49.82819510487962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2026-03-15T20:25:07Z</dcterms:created>
  <dcterms:modified xsi:type="dcterms:W3CDTF">2026-03-18T22:07:30Z</dcterms:modified>
  <cp:lastModifiedBy>Pandey, Aashish (pandeyap)</cp:lastModifiedBy>
</cp:coreProperties>
</file>